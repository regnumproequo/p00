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4f9f8271d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1d088b8a68441d"/>
    <x:sheet xmlns:r="http://schemas.openxmlformats.org/officeDocument/2006/relationships" name="Migration" sheetId="2" r:id="R8e840f82eb9f4284"/>
    <x:sheet xmlns:r="http://schemas.openxmlformats.org/officeDocument/2006/relationships" name="Sankey_Input" sheetId="3" r:id="Rbf86229b27ba4372"/>
    <x:sheet xmlns:r="http://schemas.openxmlformats.org/officeDocument/2006/relationships" name="Summary" sheetId="4" r:id="R55cbd55c93cc4de6"/>
    <x:sheet xmlns:r="http://schemas.openxmlformats.org/officeDocument/2006/relationships" name="Election_Results" sheetId="5" r:id="R10d90d6de52c4893"/>
    <x:sheet xmlns:r="http://schemas.openxmlformats.org/officeDocument/2006/relationships" name="Sources" sheetId="6" r:id="R780c90b48c9b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"/>
  </x:numFmts>
  <x:fonts count="4">
    <x:font>
      <x:sz val="11"/>
      <x:name val="Carlito"/>
    </x:font>
    <x:font>
      <x:b/>
      <x:sz val="16"/>
      <x:color rgb="FF0D111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111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a807e1ffc4b71" /><Relationship Type="http://schemas.openxmlformats.org/officeDocument/2006/relationships/theme" Target="/xl/theme/theme1.xml" Id="R54af18aa88784e9f" /><Relationship Type="http://schemas.openxmlformats.org/officeDocument/2006/relationships/sharedStrings" Target="/xl/sharedStrings.xml" Id="R77766afda2714e7e" /><Relationship Type="http://schemas.openxmlformats.org/officeDocument/2006/relationships/worksheet" Target="/xl/worksheets/sheet1.xml" Id="Re61d088b8a68441d" /><Relationship Type="http://schemas.openxmlformats.org/officeDocument/2006/relationships/worksheet" Target="/xl/worksheets/sheet2.xml" Id="R8e840f82eb9f4284" /><Relationship Type="http://schemas.openxmlformats.org/officeDocument/2006/relationships/worksheet" Target="/xl/worksheets/sheet3.xml" Id="Rbf86229b27ba4372" /><Relationship Type="http://schemas.openxmlformats.org/officeDocument/2006/relationships/worksheet" Target="/xl/worksheets/sheet4.xml" Id="R55cbd55c93cc4de6" /><Relationship Type="http://schemas.openxmlformats.org/officeDocument/2006/relationships/worksheet" Target="/xl/worksheets/sheet5.xml" Id="R10d90d6de52c4893" /><Relationship Type="http://schemas.openxmlformats.org/officeDocument/2006/relationships/worksheet" Target="/xl/worksheets/sheet6.xml" Id="R780c90b48c9b49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26cab645a54d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Estimated net migration by party (thousand voters)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inflow_k</c:v>
          </c:tx>
          <c:cat>
            <c:strRef>
              <c:f>'Summary'!$A$2:$A$9</c:f>
              <c:strCache>
                <c:ptCount val="0"/>
              </c:strCache>
            </c:strRef>
          </c:cat>
          <c:val>
            <c:numRef>
              <c:f>'Summary'!$B$2:$B$9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outflow_k</c:v>
          </c:tx>
          <c:cat>
            <c:strRef>
              <c:f>'Summary'!$A$2:$A$9</c:f>
              <c:strCache>
                <c:ptCount val="0"/>
              </c:strCache>
            </c:strRef>
          </c:cat>
          <c:val>
            <c:numRef>
              <c:f>'Summary'!$C$2:$C$9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net_k</c:v>
          </c:tx>
          <c:cat>
            <c:strRef>
              <c:f>'Summary'!$A$2:$A$9</c:f>
              <c:strCache>
                <c:ptCount val="0"/>
              </c:strCache>
            </c:strRef>
          </c:cat>
          <c:val>
            <c:numRef>
              <c:f>'Summary'!$D$2:$D$9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26cab645a54d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igrationTable" displayName="MigrationTable" ref="A1:I29" headerRowCount="1" totalsRowCount="0" totalsRowShown="0">
  <x:tableColumns count="9">
    <x:tableColumn id="1" name="source_2021"/>
    <x:tableColumn id="2" name="target_2025"/>
    <x:tableColumn id="3" name="value_voters"/>
    <x:tableColumn id="4" name="value_thousand"/>
    <x:tableColumn id="5" name="source_chart"/>
    <x:tableColumn id="6" name="source_url"/>
    <x:tableColumn id="7" name="note"/>
    <x:tableColumn id="8" name="source_color"/>
    <x:tableColumn id="9" name="target_co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nkeyInputTable" displayName="SankeyInputTable" ref="A1:G29" headerRowCount="1" totalsRowCount="0" totalsRowShown="0">
  <x:tableColumns count="7">
    <x:tableColumn id="1" name="source_node"/>
    <x:tableColumn id="2" name="target_node"/>
    <x:tableColumn id="3" name="value_voters"/>
    <x:tableColumn id="4" name="value_thousand"/>
    <x:tableColumn id="5" name="color_hex"/>
    <x:tableColumn id="6" name="label"/>
    <x:tableColumn id="7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Table" displayName="SummaryTable" ref="A1:G9" headerRowCount="1" totalsRowCount="0" totalsRowShown="0">
  <x:tableColumns count="7">
    <x:tableColumn id="1" name="party"/>
    <x:tableColumn id="2" name="inflow_k"/>
    <x:tableColumn id="3" name="outflow_k"/>
    <x:tableColumn id="4" name="net_k"/>
    <x:tableColumn id="5" name="inflow_voters"/>
    <x:tableColumn id="6" name="outflow_voters"/>
    <x:tableColumn id="7" name="net_vote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lectionResultsTable" displayName="ElectionResultsTable" ref="A1:I11" headerRowCount="1" totalsRowCount="0" totalsRowShown="0">
  <x:tableColumns count="9">
    <x:tableColumn id="1" name="party"/>
    <x:tableColumn id="2" name="share_2021_pct"/>
    <x:tableColumn id="3" name="seats_2021"/>
    <x:tableColumn id="4" name="share_2025_pct"/>
    <x:tableColumn id="5" name="seats_2025"/>
    <x:tableColumn id="6" name="share_change_pp"/>
    <x:tableColumn id="7" name="seat_change"/>
    <x:tableColumn id="8" name="source_url"/>
    <x:tableColumn id="9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D11" headerRowCount="1" totalsRowCount="0" totalsRowShown="0">
  <x:tableColumns count="4">
    <x:tableColumn id="1" name="source_name"/>
    <x:tableColumn id="2" name="url"/>
    <x:tableColumn id="3" name="used_for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04b1cb99d34f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63e109b7547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a4ed18ad51c4698" /><Relationship Type="http://schemas.openxmlformats.org/officeDocument/2006/relationships/table" Target="/xl/tables/table3.xml" Id="Rc57a8d8f5f9c45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a7305f99244d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b80c75b26174fd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Bundestagswahl 2025 voter migration Sankey dataset</x:v>
      </x:c>
      <x:c r="B1" s="7"/>
    </x:row>
    <x:row r="2">
      <x:c r="A2" t="str"/>
      <x:c r="B2"/>
    </x:row>
    <x:row r="3">
      <x:c r="A3" s="4" t="str">
        <x:v>Purpose</x:v>
      </x:c>
      <x:c r="B3" t="str">
        <x:v>Input workbook for a public Sankey demo on phey.app.</x:v>
      </x:c>
    </x:row>
    <x:row r="4">
      <x:c r="A4" s="4" t="str">
        <x:v>Scope</x:v>
      </x:c>
      <x:c r="B4" t="str">
        <x:v>Germany Bundestag election 2025 compared with Bundestag election 2021.</x:v>
      </x:c>
    </x:row>
    <x:row r="5">
      <x:c r="A5" s="4" t="str">
        <x:v>Migration values</x:v>
      </x:c>
      <x:c r="B5" t="str">
        <x:v>Estimated net voter migration in persons, transcribed from tagesschau/infratest dimap Wählerwanderung graphics.</x:v>
      </x:c>
    </x:row>
    <x:row r="6">
      <x:c r="A6" s="4" t="str">
        <x:v>Important caveat</x:v>
      </x:c>
      <x:c r="B6" t="str">
        <x:v>The migration model estimates voter flows; it is not exact ballot tracking.</x:v>
      </x:c>
    </x:row>
    <x:row r="7">
      <x:c r="A7" s="4" t="str">
        <x:v>Election results</x:v>
      </x:c>
      <x:c r="B7" t="str">
        <x:v>Party result shares and seats from wahlrecht.de for contextual checks.</x:v>
      </x:c>
    </x:row>
    <x:row r="8">
      <x:c r="A8" s="4" t="str">
        <x:v>Created</x:v>
      </x:c>
      <x:c r="B8" t="str">
        <x:v>2026-10-08 08:29</x:v>
      </x:c>
    </x:row>
    <x:row r="9">
      <x:c r="A9" s="4" t="str"/>
      <x:c r="B9"/>
    </x:row>
    <x:row r="10">
      <x:c r="A10" s="4" t="str">
        <x:v>Primary migration source</x:v>
      </x:c>
      <x:c r="B10" t="str">
        <x:v>https://www.tagesschau.de/wahl/archiv/2025-02-23-BT-DE/analyse-wanderung.shtml</x:v>
      </x:c>
    </x:row>
    <x:row r="11">
      <x:c r="A11" s="4" t="str">
        <x:v>Official/result source</x:v>
      </x:c>
      <x:c r="B11" t="str">
        <x:v>https://www.wahlrecht.de/ergebnisse/bundestag.htm</x:v>
      </x:c>
    </x:row>
    <x:row r="12">
      <x:c r="A12" s="4" t="str">
        <x:v>2025 detail source</x:v>
      </x:c>
      <x:c r="B12" t="str">
        <x:v>https://www.wahlrecht.de/news/2025/bundestagswahl-2025.html</x:v>
      </x:c>
    </x:row>
    <x:row r="13">
      <x:c r="A13" s="4" t="str"/>
      <x:c r="B13"/>
    </x:row>
    <x:row r="14">
      <x:c r="A14" s="4" t="str">
        <x:v>Recommended Plotly Sankey fields</x:v>
      </x:c>
      <x:c r="B14" t="str">
        <x:v>Use Sankey_Input columns: source_node, target_node, value_voters, color_hex.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20" hidden="0" customWidth="1"/>
    <x:col min="6" max="6" width="55" hidden="0" customWidth="1"/>
    <x:col min="7" max="7" width="55" hidden="0" customWidth="1"/>
    <x:col min="8" max="8" width="12" hidden="0" customWidth="1"/>
    <x:col min="9" max="9" width="12" hidden="0" customWidth="1"/>
  </x:cols>
  <x:sheetData>
    <x:row r="1">
      <x:c r="A1" s="14" t="str">
        <x:v>source_2021</x:v>
      </x:c>
      <x:c r="B1" s="14" t="str">
        <x:v>target_2025</x:v>
      </x:c>
      <x:c r="C1" s="14" t="str">
        <x:v>value_voters</x:v>
      </x:c>
      <x:c r="D1" s="14" t="str">
        <x:v>value_thousand</x:v>
      </x:c>
      <x:c r="E1" s="14" t="str">
        <x:v>source_chart</x:v>
      </x:c>
      <x:c r="F1" s="14" t="str">
        <x:v>source_url</x:v>
      </x:c>
      <x:c r="G1" s="14" t="str">
        <x:v>note</x:v>
      </x:c>
      <x:c r="H1" s="14" t="str">
        <x:v>source_color</x:v>
      </x:c>
      <x:c r="I1" s="14" t="str">
        <x:v>target_color</x:v>
      </x:c>
    </x:row>
    <x:row r="2">
      <x:c r="A2" s="7" t="str">
        <x:v>FDP</x:v>
      </x:c>
      <x:c r="B2" s="7" t="str">
        <x:v>SPD</x:v>
      </x:c>
      <x:c r="C2" s="20" t="n">
        <x:v>120000</x:v>
      </x:c>
      <x:c r="D2" s="22" t="n">
        <x:f>C2/1000</x:f>
        <x:v>120</x:v>
      </x:c>
      <x:c r="E2" s="7" t="str">
        <x:v>SPD chart</x:v>
      </x:c>
      <x:c r="F2" s="7" t="str">
        <x:v>https://www.tagesschau.de/wahl/archiv/2025-02-23-BT-DE/charts/analyse-wanderung/chart_1873611.jpg</x:v>
      </x:c>
      <x:c r="G2" s="7" t="str">
        <x:v>Net gain/loss estimate; value shown as 120.000</x:v>
      </x:c>
      <x:c r="H2" s="7" t="str">
        <x:v>#FFCC00</x:v>
      </x:c>
      <x:c r="I2" s="7" t="str">
        <x:v>#E31B23</x:v>
      </x:c>
    </x:row>
    <x:row r="3">
      <x:c r="A3" s="7" t="str">
        <x:v>Nichtwähler</x:v>
      </x:c>
      <x:c r="B3" s="7" t="str">
        <x:v>SPD</x:v>
      </x:c>
      <x:c r="C3" s="20" t="n">
        <x:v>250000</x:v>
      </x:c>
      <x:c r="D3" s="22" t="n">
        <x:f>C3/1000</x:f>
        <x:v>250</x:v>
      </x:c>
      <x:c r="E3" s="7" t="str">
        <x:v>SPD chart</x:v>
      </x:c>
      <x:c r="F3" s="7" t="str">
        <x:v>https://www.tagesschau.de/wahl/archiv/2025-02-23-BT-DE/charts/analyse-wanderung/chart_1873611.jpg</x:v>
      </x:c>
      <x:c r="G3" s="7" t="str">
        <x:v>Net gain/loss estimate; value shown as 250.000</x:v>
      </x:c>
      <x:c r="H3" s="7" t="str">
        <x:v>#808080</x:v>
      </x:c>
      <x:c r="I3" s="7" t="str">
        <x:v>#E31B23</x:v>
      </x:c>
    </x:row>
    <x:row r="4">
      <x:c r="A4" s="7" t="str">
        <x:v>SPD</x:v>
      </x:c>
      <x:c r="B4" s="7" t="str">
        <x:v>Grüne</x:v>
      </x:c>
      <x:c r="C4" s="20" t="n">
        <x:v>100000</x:v>
      </x:c>
      <x:c r="D4" s="22" t="n">
        <x:f>C4/1000</x:f>
        <x:v>100</x:v>
      </x:c>
      <x:c r="E4" s="7" t="str">
        <x:v>SPD/Grüne charts</x:v>
      </x:c>
      <x:c r="F4" s="7" t="str">
        <x:v>https://www.tagesschau.de/wahl/archiv/2025-02-23-BT-DE/analyse-wanderung.shtml</x:v>
      </x:c>
      <x:c r="G4" s="7" t="str">
        <x:v>Appears reciprocally in SPD and Grüne charts</x:v>
      </x:c>
      <x:c r="H4" s="7" t="str">
        <x:v>#E31B23</x:v>
      </x:c>
      <x:c r="I4" s="7" t="str">
        <x:v>#64B914</x:v>
      </x:c>
    </x:row>
    <x:row r="5">
      <x:c r="A5" s="7" t="str">
        <x:v>SPD</x:v>
      </x:c>
      <x:c r="B5" s="7" t="str">
        <x:v>BSW</x:v>
      </x:c>
      <x:c r="C5" s="20" t="n">
        <x:v>440000</x:v>
      </x:c>
      <x:c r="D5" s="22" t="n">
        <x:f>C5/1000</x:f>
        <x:v>440</x:v>
      </x:c>
      <x:c r="E5" s="7" t="str">
        <x:v>SPD/BSW charts</x:v>
      </x:c>
      <x:c r="F5" s="7" t="str">
        <x:v>https://www.tagesschau.de/wahl/archiv/2025-02-23-BT-DE/analyse-wanderung.shtml</x:v>
      </x:c>
      <x:c r="G5" s="7" t="str">
        <x:v>Appears reciprocally in SPD and BSW charts</x:v>
      </x:c>
      <x:c r="H5" s="7" t="str">
        <x:v>#E31B23</x:v>
      </x:c>
      <x:c r="I5" s="7" t="str">
        <x:v>#7B174D</x:v>
      </x:c>
    </x:row>
    <x:row r="6">
      <x:c r="A6" s="7" t="str">
        <x:v>SPD</x:v>
      </x:c>
      <x:c r="B6" s="7" t="str">
        <x:v>Linke</x:v>
      </x:c>
      <x:c r="C6" s="20" t="n">
        <x:v>560000</x:v>
      </x:c>
      <x:c r="D6" s="22" t="n">
        <x:f>C6/1000</x:f>
        <x:v>560</x:v>
      </x:c>
      <x:c r="E6" s="7" t="str">
        <x:v>SPD/Linke charts</x:v>
      </x:c>
      <x:c r="F6" s="7" t="str">
        <x:v>https://www.tagesschau.de/wahl/archiv/2025-02-23-BT-DE/analyse-wanderung.shtml</x:v>
      </x:c>
      <x:c r="G6" s="7" t="str">
        <x:v>Appears reciprocally in SPD and Linke charts</x:v>
      </x:c>
      <x:c r="H6" s="7" t="str">
        <x:v>#E31B23</x:v>
      </x:c>
      <x:c r="I6" s="7" t="str">
        <x:v>#BE3075</x:v>
      </x:c>
    </x:row>
    <x:row r="7">
      <x:c r="A7" s="7" t="str">
        <x:v>SPD</x:v>
      </x:c>
      <x:c r="B7" s="7" t="str">
        <x:v>AfD</x:v>
      </x:c>
      <x:c r="C7" s="20" t="n">
        <x:v>720000</x:v>
      </x:c>
      <x:c r="D7" s="22" t="n">
        <x:f>C7/1000</x:f>
        <x:v>720</x:v>
      </x:c>
      <x:c r="E7" s="7" t="str">
        <x:v>SPD/AfD charts</x:v>
      </x:c>
      <x:c r="F7" s="7" t="str">
        <x:v>https://www.tagesschau.de/wahl/archiv/2025-02-23-BT-DE/analyse-wanderung.shtml</x:v>
      </x:c>
      <x:c r="G7" s="7" t="str">
        <x:v>Appears reciprocally in SPD and AfD charts</x:v>
      </x:c>
      <x:c r="H7" s="7" t="str">
        <x:v>#E31B23</x:v>
      </x:c>
      <x:c r="I7" s="7" t="str">
        <x:v>#009EE0</x:v>
      </x:c>
    </x:row>
    <x:row r="8">
      <x:c r="A8" s="7" t="str">
        <x:v>SPD</x:v>
      </x:c>
      <x:c r="B8" s="7" t="str">
        <x:v>Union</x:v>
      </x:c>
      <x:c r="C8" s="20" t="n">
        <x:v>1760000</x:v>
      </x:c>
      <x:c r="D8" s="22" t="n">
        <x:f>C8/1000</x:f>
        <x:v>1760</x:v>
      </x:c>
      <x:c r="E8" s="7" t="str">
        <x:v>SPD/Union charts</x:v>
      </x:c>
      <x:c r="F8" s="7" t="str">
        <x:v>https://www.tagesschau.de/wahl/archiv/2025-02-23-BT-DE/analyse-wanderung.shtml</x:v>
      </x:c>
      <x:c r="G8" s="7" t="str">
        <x:v>Appears reciprocally in SPD and Union charts</x:v>
      </x:c>
      <x:c r="H8" s="7" t="str">
        <x:v>#E31B23</x:v>
      </x:c>
      <x:c r="I8" s="7" t="str">
        <x:v>#111111</x:v>
      </x:c>
    </x:row>
    <x:row r="9">
      <x:c r="A9" s="7" t="str">
        <x:v>Grüne</x:v>
      </x:c>
      <x:c r="B9" s="7" t="str">
        <x:v>Union</x:v>
      </x:c>
      <x:c r="C9" s="20" t="n">
        <x:v>460000</x:v>
      </x:c>
      <x:c r="D9" s="22" t="n">
        <x:f>C9/1000</x:f>
        <x:v>460</x:v>
      </x:c>
      <x:c r="E9" s="7" t="str">
        <x:v>Union/Grüne charts</x:v>
      </x:c>
      <x:c r="F9" s="7" t="str">
        <x:v>https://www.tagesschau.de/wahl/archiv/2025-02-23-BT-DE/analyse-wanderung.shtml</x:v>
      </x:c>
      <x:c r="G9" s="7" t="str">
        <x:v>Appears reciprocally in Union and Grüne charts</x:v>
      </x:c>
      <x:c r="H9" s="7" t="str">
        <x:v>#64B914</x:v>
      </x:c>
      <x:c r="I9" s="7" t="str">
        <x:v>#111111</x:v>
      </x:c>
    </x:row>
    <x:row r="10">
      <x:c r="A10" s="7" t="str">
        <x:v>Nichtwähler</x:v>
      </x:c>
      <x:c r="B10" s="7" t="str">
        <x:v>Union</x:v>
      </x:c>
      <x:c r="C10" s="20" t="n">
        <x:v>900000</x:v>
      </x:c>
      <x:c r="D10" s="22" t="n">
        <x:f>C10/1000</x:f>
        <x:v>900</x:v>
      </x:c>
      <x:c r="E10" s="7" t="str">
        <x:v>Union chart</x:v>
      </x:c>
      <x:c r="F10" s="7" t="str">
        <x:v>https://www.tagesschau.de/wahl/archiv/2025-02-23-BT-DE/charts/analyse-wanderung/chart_1873613.jpg</x:v>
      </x:c>
      <x:c r="G10" s="7" t="str">
        <x:v>Net gain/loss estimate; value shown as 900.000</x:v>
      </x:c>
      <x:c r="H10" s="7" t="str">
        <x:v>#808080</x:v>
      </x:c>
      <x:c r="I10" s="7" t="str">
        <x:v>#111111</x:v>
      </x:c>
    </x:row>
    <x:row r="11">
      <x:c r="A11" s="7" t="str">
        <x:v>FDP</x:v>
      </x:c>
      <x:c r="B11" s="7" t="str">
        <x:v>Union</x:v>
      </x:c>
      <x:c r="C11" s="20" t="n">
        <x:v>1350000</x:v>
      </x:c>
      <x:c r="D11" s="22" t="n">
        <x:f>C11/1000</x:f>
        <x:v>1350</x:v>
      </x:c>
      <x:c r="E11" s="7" t="str">
        <x:v>Union/FDP charts</x:v>
      </x:c>
      <x:c r="F11" s="7" t="str">
        <x:v>https://www.tagesschau.de/wahl/archiv/2025-02-23-BT-DE/analyse-wanderung.shtml</x:v>
      </x:c>
      <x:c r="G11" s="7" t="str">
        <x:v>Appears reciprocally in Union and FDP charts</x:v>
      </x:c>
      <x:c r="H11" s="7" t="str">
        <x:v>#FFCC00</x:v>
      </x:c>
      <x:c r="I11" s="7" t="str">
        <x:v>#111111</x:v>
      </x:c>
    </x:row>
    <x:row r="12">
      <x:c r="A12" s="7" t="str">
        <x:v>Union</x:v>
      </x:c>
      <x:c r="B12" s="7" t="str">
        <x:v>Linke</x:v>
      </x:c>
      <x:c r="C12" s="20" t="n">
        <x:v>70000</x:v>
      </x:c>
      <x:c r="D12" s="22" t="n">
        <x:f>C12/1000</x:f>
        <x:v>70</x:v>
      </x:c>
      <x:c r="E12" s="7" t="str">
        <x:v>Union/Linke charts</x:v>
      </x:c>
      <x:c r="F12" s="7" t="str">
        <x:v>https://www.tagesschau.de/wahl/archiv/2025-02-23-BT-DE/analyse-wanderung.shtml</x:v>
      </x:c>
      <x:c r="G12" s="7" t="str">
        <x:v>Appears reciprocally in Union and Linke charts</x:v>
      </x:c>
      <x:c r="H12" s="7" t="str">
        <x:v>#111111</x:v>
      </x:c>
      <x:c r="I12" s="7" t="str">
        <x:v>#BE3075</x:v>
      </x:c>
    </x:row>
    <x:row r="13">
      <x:c r="A13" s="7" t="str">
        <x:v>Union</x:v>
      </x:c>
      <x:c r="B13" s="7" t="str">
        <x:v>BSW</x:v>
      </x:c>
      <x:c r="C13" s="20" t="n">
        <x:v>220000</x:v>
      </x:c>
      <x:c r="D13" s="22" t="n">
        <x:f>C13/1000</x:f>
        <x:v>220</x:v>
      </x:c>
      <x:c r="E13" s="7" t="str">
        <x:v>Union/BSW charts</x:v>
      </x:c>
      <x:c r="F13" s="7" t="str">
        <x:v>https://www.tagesschau.de/wahl/archiv/2025-02-23-BT-DE/analyse-wanderung.shtml</x:v>
      </x:c>
      <x:c r="G13" s="7" t="str">
        <x:v>Appears reciprocally in Union and BSW charts</x:v>
      </x:c>
      <x:c r="H13" s="7" t="str">
        <x:v>#111111</x:v>
      </x:c>
      <x:c r="I13" s="7" t="str">
        <x:v>#7B174D</x:v>
      </x:c>
    </x:row>
    <x:row r="14">
      <x:c r="A14" s="7" t="str">
        <x:v>Union</x:v>
      </x:c>
      <x:c r="B14" s="7" t="str">
        <x:v>AfD</x:v>
      </x:c>
      <x:c r="C14" s="20" t="n">
        <x:v>1010000</x:v>
      </x:c>
      <x:c r="D14" s="22" t="n">
        <x:f>C14/1000</x:f>
        <x:v>1010</x:v>
      </x:c>
      <x:c r="E14" s="7" t="str">
        <x:v>Union/AfD charts</x:v>
      </x:c>
      <x:c r="F14" s="7" t="str">
        <x:v>https://www.tagesschau.de/wahl/archiv/2025-02-23-BT-DE/analyse-wanderung.shtml</x:v>
      </x:c>
      <x:c r="G14" s="7" t="str">
        <x:v>Appears reciprocally in Union and AfD charts</x:v>
      </x:c>
      <x:c r="H14" s="7" t="str">
        <x:v>#111111</x:v>
      </x:c>
      <x:c r="I14" s="7" t="str">
        <x:v>#009EE0</x:v>
      </x:c>
    </x:row>
    <x:row r="15">
      <x:c r="A15" s="7" t="str">
        <x:v>Nichtwähler</x:v>
      </x:c>
      <x:c r="B15" s="7" t="str">
        <x:v>Grüne</x:v>
      </x:c>
      <x:c r="C15" s="20" t="n">
        <x:v>110000</x:v>
      </x:c>
      <x:c r="D15" s="22" t="n">
        <x:f>C15/1000</x:f>
        <x:v>110</x:v>
      </x:c>
      <x:c r="E15" s="7" t="str">
        <x:v>Grüne chart</x:v>
      </x:c>
      <x:c r="F15" s="7" t="str">
        <x:v>https://www.tagesschau.de/wahl/archiv/2025-02-23-BT-DE/charts/analyse-wanderung/chart_1873615.jpg</x:v>
      </x:c>
      <x:c r="G15" s="7" t="str">
        <x:v>Net gain/loss estimate; value shown as 110.000</x:v>
      </x:c>
      <x:c r="H15" s="7" t="str">
        <x:v>#808080</x:v>
      </x:c>
      <x:c r="I15" s="7" t="str">
        <x:v>#64B914</x:v>
      </x:c>
    </x:row>
    <x:row r="16">
      <x:c r="A16" s="7" t="str">
        <x:v>FDP</x:v>
      </x:c>
      <x:c r="B16" s="7" t="str">
        <x:v>Grüne</x:v>
      </x:c>
      <x:c r="C16" s="20" t="n">
        <x:v>140000</x:v>
      </x:c>
      <x:c r="D16" s="22" t="n">
        <x:f>C16/1000</x:f>
        <x:v>140</x:v>
      </x:c>
      <x:c r="E16" s="7" t="str">
        <x:v>FDP/Grüne charts</x:v>
      </x:c>
      <x:c r="F16" s="7" t="str">
        <x:v>https://www.tagesschau.de/wahl/archiv/2025-02-23-BT-DE/analyse-wanderung.shtml</x:v>
      </x:c>
      <x:c r="G16" s="7" t="str">
        <x:v>Appears reciprocally in FDP and Grüne charts</x:v>
      </x:c>
      <x:c r="H16" s="7" t="str">
        <x:v>#FFCC00</x:v>
      </x:c>
      <x:c r="I16" s="7" t="str">
        <x:v>#64B914</x:v>
      </x:c>
    </x:row>
    <x:row r="17">
      <x:c r="A17" s="7" t="str">
        <x:v>Grüne</x:v>
      </x:c>
      <x:c r="B17" s="7" t="str">
        <x:v>AfD</x:v>
      </x:c>
      <x:c r="C17" s="20" t="n">
        <x:v>100000</x:v>
      </x:c>
      <x:c r="D17" s="22" t="n">
        <x:f>C17/1000</x:f>
        <x:v>100</x:v>
      </x:c>
      <x:c r="E17" s="7" t="str">
        <x:v>Grüne/AfD charts</x:v>
      </x:c>
      <x:c r="F17" s="7" t="str">
        <x:v>https://www.tagesschau.de/wahl/archiv/2025-02-23-BT-DE/analyse-wanderung.shtml</x:v>
      </x:c>
      <x:c r="G17" s="7" t="str">
        <x:v>Appears reciprocally in Grüne and AfD charts</x:v>
      </x:c>
      <x:c r="H17" s="7" t="str">
        <x:v>#64B914</x:v>
      </x:c>
      <x:c r="I17" s="7" t="str">
        <x:v>#009EE0</x:v>
      </x:c>
    </x:row>
    <x:row r="18">
      <x:c r="A18" s="7" t="str">
        <x:v>Grüne</x:v>
      </x:c>
      <x:c r="B18" s="7" t="str">
        <x:v>BSW</x:v>
      </x:c>
      <x:c r="C18" s="20" t="n">
        <x:v>150000</x:v>
      </x:c>
      <x:c r="D18" s="22" t="n">
        <x:f>C18/1000</x:f>
        <x:v>150</x:v>
      </x:c>
      <x:c r="E18" s="7" t="str">
        <x:v>Grüne/BSW charts</x:v>
      </x:c>
      <x:c r="F18" s="7" t="str">
        <x:v>https://www.tagesschau.de/wahl/archiv/2025-02-23-BT-DE/analyse-wanderung.shtml</x:v>
      </x:c>
      <x:c r="G18" s="7" t="str">
        <x:v>Appears reciprocally in Grüne and BSW charts</x:v>
      </x:c>
      <x:c r="H18" s="7" t="str">
        <x:v>#64B914</x:v>
      </x:c>
      <x:c r="I18" s="7" t="str">
        <x:v>#7B174D</x:v>
      </x:c>
    </x:row>
    <x:row r="19">
      <x:c r="A19" s="7" t="str">
        <x:v>Grüne</x:v>
      </x:c>
      <x:c r="B19" s="7" t="str">
        <x:v>Linke</x:v>
      </x:c>
      <x:c r="C19" s="20" t="n">
        <x:v>700000</x:v>
      </x:c>
      <x:c r="D19" s="22" t="n">
        <x:f>C19/1000</x:f>
        <x:v>700</x:v>
      </x:c>
      <x:c r="E19" s="7" t="str">
        <x:v>Grüne/Linke charts</x:v>
      </x:c>
      <x:c r="F19" s="7" t="str">
        <x:v>https://www.tagesschau.de/wahl/archiv/2025-02-23-BT-DE/analyse-wanderung.shtml</x:v>
      </x:c>
      <x:c r="G19" s="7" t="str">
        <x:v>Appears reciprocally in Grüne and Linke charts</x:v>
      </x:c>
      <x:c r="H19" s="7" t="str">
        <x:v>#64B914</x:v>
      </x:c>
      <x:c r="I19" s="7" t="str">
        <x:v>#BE3075</x:v>
      </x:c>
    </x:row>
    <x:row r="20">
      <x:c r="A20" s="7" t="str">
        <x:v>FDP</x:v>
      </x:c>
      <x:c r="B20" s="7" t="str">
        <x:v>Nichtwähler</x:v>
      </x:c>
      <x:c r="C20" s="20" t="n">
        <x:v>40000</x:v>
      </x:c>
      <x:c r="D20" s="22" t="n">
        <x:f>C20/1000</x:f>
        <x:v>40</x:v>
      </x:c>
      <x:c r="E20" s="7" t="str">
        <x:v>FDP chart</x:v>
      </x:c>
      <x:c r="F20" s="7" t="str">
        <x:v>https://www.tagesschau.de/wahl/archiv/2025-02-23-BT-DE/charts/analyse-wanderung/chart_1873617.jpg</x:v>
      </x:c>
      <x:c r="G20" s="7" t="str">
        <x:v>Net gain/loss estimate; value shown as 40.000</x:v>
      </x:c>
      <x:c r="H20" s="7" t="str">
        <x:v>#FFCC00</x:v>
      </x:c>
      <x:c r="I20" s="7" t="str">
        <x:v>#808080</x:v>
      </x:c>
    </x:row>
    <x:row r="21">
      <x:c r="A21" s="7" t="str">
        <x:v>FDP</x:v>
      </x:c>
      <x:c r="B21" s="7" t="str">
        <x:v>Linke</x:v>
      </x:c>
      <x:c r="C21" s="20" t="n">
        <x:v>100000</x:v>
      </x:c>
      <x:c r="D21" s="22" t="n">
        <x:f>C21/1000</x:f>
        <x:v>100</x:v>
      </x:c>
      <x:c r="E21" s="7" t="str">
        <x:v>FDP/Linke charts</x:v>
      </x:c>
      <x:c r="F21" s="7" t="str">
        <x:v>https://www.tagesschau.de/wahl/archiv/2025-02-23-BT-DE/analyse-wanderung.shtml</x:v>
      </x:c>
      <x:c r="G21" s="7" t="str">
        <x:v>Appears reciprocally in FDP and Linke charts</x:v>
      </x:c>
      <x:c r="H21" s="7" t="str">
        <x:v>#FFCC00</x:v>
      </x:c>
      <x:c r="I21" s="7" t="str">
        <x:v>#BE3075</x:v>
      </x:c>
    </x:row>
    <x:row r="22">
      <x:c r="A22" s="7" t="str">
        <x:v>FDP</x:v>
      </x:c>
      <x:c r="B22" s="7" t="str">
        <x:v>BSW</x:v>
      </x:c>
      <x:c r="C22" s="20" t="n">
        <x:v>260000</x:v>
      </x:c>
      <x:c r="D22" s="22" t="n">
        <x:f>C22/1000</x:f>
        <x:v>260</x:v>
      </x:c>
      <x:c r="E22" s="7" t="str">
        <x:v>FDP/BSW charts</x:v>
      </x:c>
      <x:c r="F22" s="7" t="str">
        <x:v>https://www.tagesschau.de/wahl/archiv/2025-02-23-BT-DE/analyse-wanderung.shtml</x:v>
      </x:c>
      <x:c r="G22" s="7" t="str">
        <x:v>Appears reciprocally in FDP and BSW charts</x:v>
      </x:c>
      <x:c r="H22" s="7" t="str">
        <x:v>#FFCC00</x:v>
      </x:c>
      <x:c r="I22" s="7" t="str">
        <x:v>#7B174D</x:v>
      </x:c>
    </x:row>
    <x:row r="23">
      <x:c r="A23" s="7" t="str">
        <x:v>FDP</x:v>
      </x:c>
      <x:c r="B23" s="7" t="str">
        <x:v>AfD</x:v>
      </x:c>
      <x:c r="C23" s="20" t="n">
        <x:v>890000</x:v>
      </x:c>
      <x:c r="D23" s="22" t="n">
        <x:f>C23/1000</x:f>
        <x:v>890</x:v>
      </x:c>
      <x:c r="E23" s="7" t="str">
        <x:v>FDP/AfD charts</x:v>
      </x:c>
      <x:c r="F23" s="7" t="str">
        <x:v>https://www.tagesschau.de/wahl/archiv/2025-02-23-BT-DE/analyse-wanderung.shtml</x:v>
      </x:c>
      <x:c r="G23" s="7" t="str">
        <x:v>Appears reciprocally in FDP and AfD charts</x:v>
      </x:c>
      <x:c r="H23" s="7" t="str">
        <x:v>#FFCC00</x:v>
      </x:c>
      <x:c r="I23" s="7" t="str">
        <x:v>#009EE0</x:v>
      </x:c>
    </x:row>
    <x:row r="24">
      <x:c r="A24" s="7" t="str">
        <x:v>Linke</x:v>
      </x:c>
      <x:c r="B24" s="7" t="str">
        <x:v>AfD</x:v>
      </x:c>
      <x:c r="C24" s="20" t="n">
        <x:v>110000</x:v>
      </x:c>
      <x:c r="D24" s="22" t="n">
        <x:f>C24/1000</x:f>
        <x:v>110</x:v>
      </x:c>
      <x:c r="E24" s="7" t="str">
        <x:v>AfD/Linke charts</x:v>
      </x:c>
      <x:c r="F24" s="7" t="str">
        <x:v>https://www.tagesschau.de/wahl/archiv/2025-02-23-BT-DE/analyse-wanderung.shtml</x:v>
      </x:c>
      <x:c r="G24" s="7" t="str">
        <x:v>Appears reciprocally in AfD and Linke charts</x:v>
      </x:c>
      <x:c r="H24" s="7" t="str">
        <x:v>#BE3075</x:v>
      </x:c>
      <x:c r="I24" s="7" t="str">
        <x:v>#009EE0</x:v>
      </x:c>
    </x:row>
    <x:row r="25">
      <x:c r="A25" s="7" t="str">
        <x:v>Nichtwähler</x:v>
      </x:c>
      <x:c r="B25" s="7" t="str">
        <x:v>AfD</x:v>
      </x:c>
      <x:c r="C25" s="20" t="n">
        <x:v>1810000</x:v>
      </x:c>
      <x:c r="D25" s="22" t="n">
        <x:f>C25/1000</x:f>
        <x:v>1810</x:v>
      </x:c>
      <x:c r="E25" s="7" t="str">
        <x:v>AfD chart</x:v>
      </x:c>
      <x:c r="F25" s="7" t="str">
        <x:v>https://www.tagesschau.de/wahl/archiv/2025-02-23-BT-DE/charts/analyse-wanderung/chart_1873619.jpg</x:v>
      </x:c>
      <x:c r="G25" s="7" t="str">
        <x:v>Net gain/loss estimate; value shown as 1.810.000</x:v>
      </x:c>
      <x:c r="H25" s="7" t="str">
        <x:v>#808080</x:v>
      </x:c>
      <x:c r="I25" s="7" t="str">
        <x:v>#009EE0</x:v>
      </x:c>
    </x:row>
    <x:row r="26">
      <x:c r="A26" s="7" t="str">
        <x:v>AfD</x:v>
      </x:c>
      <x:c r="B26" s="7" t="str">
        <x:v>BSW</x:v>
      </x:c>
      <x:c r="C26" s="20" t="n">
        <x:v>60000</x:v>
      </x:c>
      <x:c r="D26" s="22" t="n">
        <x:f>C26/1000</x:f>
        <x:v>60</x:v>
      </x:c>
      <x:c r="E26" s="7" t="str">
        <x:v>AfD/BSW charts</x:v>
      </x:c>
      <x:c r="F26" s="7" t="str">
        <x:v>https://www.tagesschau.de/wahl/archiv/2025-02-23-BT-DE/analyse-wanderung.shtml</x:v>
      </x:c>
      <x:c r="G26" s="7" t="str">
        <x:v>Appears reciprocally in AfD and BSW charts</x:v>
      </x:c>
      <x:c r="H26" s="7" t="str">
        <x:v>#009EE0</x:v>
      </x:c>
      <x:c r="I26" s="7" t="str">
        <x:v>#7B174D</x:v>
      </x:c>
    </x:row>
    <x:row r="27">
      <x:c r="A27" s="7" t="str">
        <x:v>Nichtwähler</x:v>
      </x:c>
      <x:c r="B27" s="7" t="str">
        <x:v>Linke</x:v>
      </x:c>
      <x:c r="C27" s="20" t="n">
        <x:v>290000</x:v>
      </x:c>
      <x:c r="D27" s="22" t="n">
        <x:f>C27/1000</x:f>
        <x:v>290</x:v>
      </x:c>
      <x:c r="E27" s="7" t="str">
        <x:v>Linke chart</x:v>
      </x:c>
      <x:c r="F27" s="7" t="str">
        <x:v>https://www.tagesschau.de/wahl/archiv/2025-02-23-BT-DE/charts/analyse-wanderung/chart_1873621.jpg</x:v>
      </x:c>
      <x:c r="G27" s="7" t="str">
        <x:v>Net gain/loss estimate; value shown as 290.000</x:v>
      </x:c>
      <x:c r="H27" s="7" t="str">
        <x:v>#808080</x:v>
      </x:c>
      <x:c r="I27" s="7" t="str">
        <x:v>#BE3075</x:v>
      </x:c>
    </x:row>
    <x:row r="28">
      <x:c r="A28" s="7" t="str">
        <x:v>Linke</x:v>
      </x:c>
      <x:c r="B28" s="7" t="str">
        <x:v>BSW</x:v>
      </x:c>
      <x:c r="C28" s="20" t="n">
        <x:v>350000</x:v>
      </x:c>
      <x:c r="D28" s="22" t="n">
        <x:f>C28/1000</x:f>
        <x:v>350</x:v>
      </x:c>
      <x:c r="E28" s="7" t="str">
        <x:v>Linke/BSW charts</x:v>
      </x:c>
      <x:c r="F28" s="7" t="str">
        <x:v>https://www.tagesschau.de/wahl/archiv/2025-02-23-BT-DE/analyse-wanderung.shtml</x:v>
      </x:c>
      <x:c r="G28" s="7" t="str">
        <x:v>Appears reciprocally in Linke and BSW charts</x:v>
      </x:c>
      <x:c r="H28" s="7" t="str">
        <x:v>#BE3075</x:v>
      </x:c>
      <x:c r="I28" s="7" t="str">
        <x:v>#7B174D</x:v>
      </x:c>
    </x:row>
    <x:row r="29">
      <x:c r="A29" s="7" t="str">
        <x:v>Nichtwähler</x:v>
      </x:c>
      <x:c r="B29" s="7" t="str">
        <x:v>BSW</x:v>
      </x:c>
      <x:c r="C29" s="20" t="n">
        <x:v>400000</x:v>
      </x:c>
      <x:c r="D29" s="22" t="n">
        <x:f>C29/1000</x:f>
        <x:v>400</x:v>
      </x:c>
      <x:c r="E29" s="7" t="str">
        <x:v>BSW chart</x:v>
      </x:c>
      <x:c r="F29" s="7" t="str">
        <x:v>https://www.tagesschau.de/wahl/archiv/2025-02-23-BT-DE/charts/analyse-wanderung/chart_1873623.jpg</x:v>
      </x:c>
      <x:c r="G29" s="7" t="str">
        <x:v>Net gain/loss estimate; value shown as 400.000</x:v>
      </x:c>
      <x:c r="H29" s="7" t="str">
        <x:v>#808080</x:v>
      </x:c>
      <x:c r="I29" s="7" t="str">
        <x:v>#7B174D</x:v>
      </x:c>
    </x:row>
  </x:sheetData>
  <x:pageMargins left="0.7" right="0.7" top="0.75" bottom="0.75" header="0.3" footer="0.3"/>
  <x:tableParts count="1">
    <x:tablePart xmlns:r="http://schemas.openxmlformats.org/officeDocument/2006/relationships" r:id="Rc604b1cb99d34f1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2" hidden="0" customWidth="1"/>
    <x:col min="6" max="6" width="22" hidden="0" customWidth="1"/>
    <x:col min="7" max="7" width="55" hidden="0" customWidth="1"/>
  </x:cols>
  <x:sheetData>
    <x:row r="1">
      <x:c r="A1" s="14" t="str">
        <x:v>source_node</x:v>
      </x:c>
      <x:c r="B1" s="14" t="str">
        <x:v>target_node</x:v>
      </x:c>
      <x:c r="C1" s="14" t="str">
        <x:v>value_voters</x:v>
      </x:c>
      <x:c r="D1" s="14" t="str">
        <x:v>value_thousand</x:v>
      </x:c>
      <x:c r="E1" s="14" t="str">
        <x:v>color_hex</x:v>
      </x:c>
      <x:c r="F1" s="14" t="str">
        <x:v>label</x:v>
      </x:c>
      <x:c r="G1" s="14" t="str">
        <x:v>source_url</x:v>
      </x:c>
    </x:row>
    <x:row r="2">
      <x:c r="A2" s="7" t="str">
        <x:v>2021: FDP</x:v>
      </x:c>
      <x:c r="B2" s="7" t="str">
        <x:v>2025: SPD</x:v>
      </x:c>
      <x:c r="C2" s="20" t="n">
        <x:v>120000</x:v>
      </x:c>
      <x:c r="D2" s="22" t="n">
        <x:f>C2/1000</x:f>
        <x:v>120</x:v>
      </x:c>
      <x:c r="E2" s="7" t="str">
        <x:v>#FFCC00</x:v>
      </x:c>
      <x:c r="F2" s="7" t="str">
        <x:v>FDP → SPD</x:v>
      </x:c>
      <x:c r="G2" s="7" t="str">
        <x:v>https://www.tagesschau.de/wahl/archiv/2025-02-23-BT-DE/charts/analyse-wanderung/chart_1873611.jpg</x:v>
      </x:c>
    </x:row>
    <x:row r="3">
      <x:c r="A3" s="7" t="str">
        <x:v>2021: Nichtwähler</x:v>
      </x:c>
      <x:c r="B3" s="7" t="str">
        <x:v>2025: SPD</x:v>
      </x:c>
      <x:c r="C3" s="20" t="n">
        <x:v>250000</x:v>
      </x:c>
      <x:c r="D3" s="22" t="n">
        <x:f>C3/1000</x:f>
        <x:v>250</x:v>
      </x:c>
      <x:c r="E3" s="7" t="str">
        <x:v>#808080</x:v>
      </x:c>
      <x:c r="F3" s="7" t="str">
        <x:v>Nichtwähler → SPD</x:v>
      </x:c>
      <x:c r="G3" s="7" t="str">
        <x:v>https://www.tagesschau.de/wahl/archiv/2025-02-23-BT-DE/charts/analyse-wanderung/chart_1873611.jpg</x:v>
      </x:c>
    </x:row>
    <x:row r="4">
      <x:c r="A4" s="7" t="str">
        <x:v>2021: SPD</x:v>
      </x:c>
      <x:c r="B4" s="7" t="str">
        <x:v>2025: Grüne</x:v>
      </x:c>
      <x:c r="C4" s="20" t="n">
        <x:v>100000</x:v>
      </x:c>
      <x:c r="D4" s="22" t="n">
        <x:f>C4/1000</x:f>
        <x:v>100</x:v>
      </x:c>
      <x:c r="E4" s="7" t="str">
        <x:v>#E31B23</x:v>
      </x:c>
      <x:c r="F4" s="7" t="str">
        <x:v>SPD → Grüne</x:v>
      </x:c>
      <x:c r="G4" s="7" t="str">
        <x:v>https://www.tagesschau.de/wahl/archiv/2025-02-23-BT-DE/analyse-wanderung.shtml</x:v>
      </x:c>
    </x:row>
    <x:row r="5">
      <x:c r="A5" s="7" t="str">
        <x:v>2021: SPD</x:v>
      </x:c>
      <x:c r="B5" s="7" t="str">
        <x:v>2025: BSW</x:v>
      </x:c>
      <x:c r="C5" s="20" t="n">
        <x:v>440000</x:v>
      </x:c>
      <x:c r="D5" s="22" t="n">
        <x:f>C5/1000</x:f>
        <x:v>440</x:v>
      </x:c>
      <x:c r="E5" s="7" t="str">
        <x:v>#E31B23</x:v>
      </x:c>
      <x:c r="F5" s="7" t="str">
        <x:v>SPD → BSW</x:v>
      </x:c>
      <x:c r="G5" s="7" t="str">
        <x:v>https://www.tagesschau.de/wahl/archiv/2025-02-23-BT-DE/analyse-wanderung.shtml</x:v>
      </x:c>
    </x:row>
    <x:row r="6">
      <x:c r="A6" s="7" t="str">
        <x:v>2021: SPD</x:v>
      </x:c>
      <x:c r="B6" s="7" t="str">
        <x:v>2025: Linke</x:v>
      </x:c>
      <x:c r="C6" s="20" t="n">
        <x:v>560000</x:v>
      </x:c>
      <x:c r="D6" s="22" t="n">
        <x:f>C6/1000</x:f>
        <x:v>560</x:v>
      </x:c>
      <x:c r="E6" s="7" t="str">
        <x:v>#E31B23</x:v>
      </x:c>
      <x:c r="F6" s="7" t="str">
        <x:v>SPD → Linke</x:v>
      </x:c>
      <x:c r="G6" s="7" t="str">
        <x:v>https://www.tagesschau.de/wahl/archiv/2025-02-23-BT-DE/analyse-wanderung.shtml</x:v>
      </x:c>
    </x:row>
    <x:row r="7">
      <x:c r="A7" s="7" t="str">
        <x:v>2021: SPD</x:v>
      </x:c>
      <x:c r="B7" s="7" t="str">
        <x:v>2025: AfD</x:v>
      </x:c>
      <x:c r="C7" s="20" t="n">
        <x:v>720000</x:v>
      </x:c>
      <x:c r="D7" s="22" t="n">
        <x:f>C7/1000</x:f>
        <x:v>720</x:v>
      </x:c>
      <x:c r="E7" s="7" t="str">
        <x:v>#E31B23</x:v>
      </x:c>
      <x:c r="F7" s="7" t="str">
        <x:v>SPD → AfD</x:v>
      </x:c>
      <x:c r="G7" s="7" t="str">
        <x:v>https://www.tagesschau.de/wahl/archiv/2025-02-23-BT-DE/analyse-wanderung.shtml</x:v>
      </x:c>
    </x:row>
    <x:row r="8">
      <x:c r="A8" s="7" t="str">
        <x:v>2021: SPD</x:v>
      </x:c>
      <x:c r="B8" s="7" t="str">
        <x:v>2025: Union</x:v>
      </x:c>
      <x:c r="C8" s="20" t="n">
        <x:v>1760000</x:v>
      </x:c>
      <x:c r="D8" s="22" t="n">
        <x:f>C8/1000</x:f>
        <x:v>1760</x:v>
      </x:c>
      <x:c r="E8" s="7" t="str">
        <x:v>#E31B23</x:v>
      </x:c>
      <x:c r="F8" s="7" t="str">
        <x:v>SPD → Union</x:v>
      </x:c>
      <x:c r="G8" s="7" t="str">
        <x:v>https://www.tagesschau.de/wahl/archiv/2025-02-23-BT-DE/analyse-wanderung.shtml</x:v>
      </x:c>
    </x:row>
    <x:row r="9">
      <x:c r="A9" s="7" t="str">
        <x:v>2021: Grüne</x:v>
      </x:c>
      <x:c r="B9" s="7" t="str">
        <x:v>2025: Union</x:v>
      </x:c>
      <x:c r="C9" s="20" t="n">
        <x:v>460000</x:v>
      </x:c>
      <x:c r="D9" s="22" t="n">
        <x:f>C9/1000</x:f>
        <x:v>460</x:v>
      </x:c>
      <x:c r="E9" s="7" t="str">
        <x:v>#64B914</x:v>
      </x:c>
      <x:c r="F9" s="7" t="str">
        <x:v>Grüne → Union</x:v>
      </x:c>
      <x:c r="G9" s="7" t="str">
        <x:v>https://www.tagesschau.de/wahl/archiv/2025-02-23-BT-DE/analyse-wanderung.shtml</x:v>
      </x:c>
    </x:row>
    <x:row r="10">
      <x:c r="A10" s="7" t="str">
        <x:v>2021: Nichtwähler</x:v>
      </x:c>
      <x:c r="B10" s="7" t="str">
        <x:v>2025: Union</x:v>
      </x:c>
      <x:c r="C10" s="20" t="n">
        <x:v>900000</x:v>
      </x:c>
      <x:c r="D10" s="22" t="n">
        <x:f>C10/1000</x:f>
        <x:v>900</x:v>
      </x:c>
      <x:c r="E10" s="7" t="str">
        <x:v>#808080</x:v>
      </x:c>
      <x:c r="F10" s="7" t="str">
        <x:v>Nichtwähler → Union</x:v>
      </x:c>
      <x:c r="G10" s="7" t="str">
        <x:v>https://www.tagesschau.de/wahl/archiv/2025-02-23-BT-DE/charts/analyse-wanderung/chart_1873613.jpg</x:v>
      </x:c>
    </x:row>
    <x:row r="11">
      <x:c r="A11" s="7" t="str">
        <x:v>2021: FDP</x:v>
      </x:c>
      <x:c r="B11" s="7" t="str">
        <x:v>2025: Union</x:v>
      </x:c>
      <x:c r="C11" s="20" t="n">
        <x:v>1350000</x:v>
      </x:c>
      <x:c r="D11" s="22" t="n">
        <x:f>C11/1000</x:f>
        <x:v>1350</x:v>
      </x:c>
      <x:c r="E11" s="7" t="str">
        <x:v>#FFCC00</x:v>
      </x:c>
      <x:c r="F11" s="7" t="str">
        <x:v>FDP → Union</x:v>
      </x:c>
      <x:c r="G11" s="7" t="str">
        <x:v>https://www.tagesschau.de/wahl/archiv/2025-02-23-BT-DE/analyse-wanderung.shtml</x:v>
      </x:c>
    </x:row>
    <x:row r="12">
      <x:c r="A12" s="7" t="str">
        <x:v>2021: Union</x:v>
      </x:c>
      <x:c r="B12" s="7" t="str">
        <x:v>2025: Linke</x:v>
      </x:c>
      <x:c r="C12" s="20" t="n">
        <x:v>70000</x:v>
      </x:c>
      <x:c r="D12" s="22" t="n">
        <x:f>C12/1000</x:f>
        <x:v>70</x:v>
      </x:c>
      <x:c r="E12" s="7" t="str">
        <x:v>#111111</x:v>
      </x:c>
      <x:c r="F12" s="7" t="str">
        <x:v>Union → Linke</x:v>
      </x:c>
      <x:c r="G12" s="7" t="str">
        <x:v>https://www.tagesschau.de/wahl/archiv/2025-02-23-BT-DE/analyse-wanderung.shtml</x:v>
      </x:c>
    </x:row>
    <x:row r="13">
      <x:c r="A13" s="7" t="str">
        <x:v>2021: Union</x:v>
      </x:c>
      <x:c r="B13" s="7" t="str">
        <x:v>2025: BSW</x:v>
      </x:c>
      <x:c r="C13" s="20" t="n">
        <x:v>220000</x:v>
      </x:c>
      <x:c r="D13" s="22" t="n">
        <x:f>C13/1000</x:f>
        <x:v>220</x:v>
      </x:c>
      <x:c r="E13" s="7" t="str">
        <x:v>#111111</x:v>
      </x:c>
      <x:c r="F13" s="7" t="str">
        <x:v>Union → BSW</x:v>
      </x:c>
      <x:c r="G13" s="7" t="str">
        <x:v>https://www.tagesschau.de/wahl/archiv/2025-02-23-BT-DE/analyse-wanderung.shtml</x:v>
      </x:c>
    </x:row>
    <x:row r="14">
      <x:c r="A14" s="7" t="str">
        <x:v>2021: Union</x:v>
      </x:c>
      <x:c r="B14" s="7" t="str">
        <x:v>2025: AfD</x:v>
      </x:c>
      <x:c r="C14" s="20" t="n">
        <x:v>1010000</x:v>
      </x:c>
      <x:c r="D14" s="22" t="n">
        <x:f>C14/1000</x:f>
        <x:v>1010</x:v>
      </x:c>
      <x:c r="E14" s="7" t="str">
        <x:v>#111111</x:v>
      </x:c>
      <x:c r="F14" s="7" t="str">
        <x:v>Union → AfD</x:v>
      </x:c>
      <x:c r="G14" s="7" t="str">
        <x:v>https://www.tagesschau.de/wahl/archiv/2025-02-23-BT-DE/analyse-wanderung.shtml</x:v>
      </x:c>
    </x:row>
    <x:row r="15">
      <x:c r="A15" s="7" t="str">
        <x:v>2021: Nichtwähler</x:v>
      </x:c>
      <x:c r="B15" s="7" t="str">
        <x:v>2025: Grüne</x:v>
      </x:c>
      <x:c r="C15" s="20" t="n">
        <x:v>110000</x:v>
      </x:c>
      <x:c r="D15" s="22" t="n">
        <x:f>C15/1000</x:f>
        <x:v>110</x:v>
      </x:c>
      <x:c r="E15" s="7" t="str">
        <x:v>#808080</x:v>
      </x:c>
      <x:c r="F15" s="7" t="str">
        <x:v>Nichtwähler → Grüne</x:v>
      </x:c>
      <x:c r="G15" s="7" t="str">
        <x:v>https://www.tagesschau.de/wahl/archiv/2025-02-23-BT-DE/charts/analyse-wanderung/chart_1873615.jpg</x:v>
      </x:c>
    </x:row>
    <x:row r="16">
      <x:c r="A16" s="7" t="str">
        <x:v>2021: FDP</x:v>
      </x:c>
      <x:c r="B16" s="7" t="str">
        <x:v>2025: Grüne</x:v>
      </x:c>
      <x:c r="C16" s="20" t="n">
        <x:v>140000</x:v>
      </x:c>
      <x:c r="D16" s="22" t="n">
        <x:f>C16/1000</x:f>
        <x:v>140</x:v>
      </x:c>
      <x:c r="E16" s="7" t="str">
        <x:v>#FFCC00</x:v>
      </x:c>
      <x:c r="F16" s="7" t="str">
        <x:v>FDP → Grüne</x:v>
      </x:c>
      <x:c r="G16" s="7" t="str">
        <x:v>https://www.tagesschau.de/wahl/archiv/2025-02-23-BT-DE/analyse-wanderung.shtml</x:v>
      </x:c>
    </x:row>
    <x:row r="17">
      <x:c r="A17" s="7" t="str">
        <x:v>2021: Grüne</x:v>
      </x:c>
      <x:c r="B17" s="7" t="str">
        <x:v>2025: AfD</x:v>
      </x:c>
      <x:c r="C17" s="20" t="n">
        <x:v>100000</x:v>
      </x:c>
      <x:c r="D17" s="22" t="n">
        <x:f>C17/1000</x:f>
        <x:v>100</x:v>
      </x:c>
      <x:c r="E17" s="7" t="str">
        <x:v>#64B914</x:v>
      </x:c>
      <x:c r="F17" s="7" t="str">
        <x:v>Grüne → AfD</x:v>
      </x:c>
      <x:c r="G17" s="7" t="str">
        <x:v>https://www.tagesschau.de/wahl/archiv/2025-02-23-BT-DE/analyse-wanderung.shtml</x:v>
      </x:c>
    </x:row>
    <x:row r="18">
      <x:c r="A18" s="7" t="str">
        <x:v>2021: Grüne</x:v>
      </x:c>
      <x:c r="B18" s="7" t="str">
        <x:v>2025: BSW</x:v>
      </x:c>
      <x:c r="C18" s="20" t="n">
        <x:v>150000</x:v>
      </x:c>
      <x:c r="D18" s="22" t="n">
        <x:f>C18/1000</x:f>
        <x:v>150</x:v>
      </x:c>
      <x:c r="E18" s="7" t="str">
        <x:v>#64B914</x:v>
      </x:c>
      <x:c r="F18" s="7" t="str">
        <x:v>Grüne → BSW</x:v>
      </x:c>
      <x:c r="G18" s="7" t="str">
        <x:v>https://www.tagesschau.de/wahl/archiv/2025-02-23-BT-DE/analyse-wanderung.shtml</x:v>
      </x:c>
    </x:row>
    <x:row r="19">
      <x:c r="A19" s="7" t="str">
        <x:v>2021: Grüne</x:v>
      </x:c>
      <x:c r="B19" s="7" t="str">
        <x:v>2025: Linke</x:v>
      </x:c>
      <x:c r="C19" s="20" t="n">
        <x:v>700000</x:v>
      </x:c>
      <x:c r="D19" s="22" t="n">
        <x:f>C19/1000</x:f>
        <x:v>700</x:v>
      </x:c>
      <x:c r="E19" s="7" t="str">
        <x:v>#64B914</x:v>
      </x:c>
      <x:c r="F19" s="7" t="str">
        <x:v>Grüne → Linke</x:v>
      </x:c>
      <x:c r="G19" s="7" t="str">
        <x:v>https://www.tagesschau.de/wahl/archiv/2025-02-23-BT-DE/analyse-wanderung.shtml</x:v>
      </x:c>
    </x:row>
    <x:row r="20">
      <x:c r="A20" s="7" t="str">
        <x:v>2021: FDP</x:v>
      </x:c>
      <x:c r="B20" s="7" t="str">
        <x:v>2025: Nichtwähler</x:v>
      </x:c>
      <x:c r="C20" s="20" t="n">
        <x:v>40000</x:v>
      </x:c>
      <x:c r="D20" s="22" t="n">
        <x:f>C20/1000</x:f>
        <x:v>40</x:v>
      </x:c>
      <x:c r="E20" s="7" t="str">
        <x:v>#FFCC00</x:v>
      </x:c>
      <x:c r="F20" s="7" t="str">
        <x:v>FDP → Nichtwähler</x:v>
      </x:c>
      <x:c r="G20" s="7" t="str">
        <x:v>https://www.tagesschau.de/wahl/archiv/2025-02-23-BT-DE/charts/analyse-wanderung/chart_1873617.jpg</x:v>
      </x:c>
    </x:row>
    <x:row r="21">
      <x:c r="A21" s="7" t="str">
        <x:v>2021: FDP</x:v>
      </x:c>
      <x:c r="B21" s="7" t="str">
        <x:v>2025: Linke</x:v>
      </x:c>
      <x:c r="C21" s="20" t="n">
        <x:v>100000</x:v>
      </x:c>
      <x:c r="D21" s="22" t="n">
        <x:f>C21/1000</x:f>
        <x:v>100</x:v>
      </x:c>
      <x:c r="E21" s="7" t="str">
        <x:v>#FFCC00</x:v>
      </x:c>
      <x:c r="F21" s="7" t="str">
        <x:v>FDP → Linke</x:v>
      </x:c>
      <x:c r="G21" s="7" t="str">
        <x:v>https://www.tagesschau.de/wahl/archiv/2025-02-23-BT-DE/analyse-wanderung.shtml</x:v>
      </x:c>
    </x:row>
    <x:row r="22">
      <x:c r="A22" s="7" t="str">
        <x:v>2021: FDP</x:v>
      </x:c>
      <x:c r="B22" s="7" t="str">
        <x:v>2025: BSW</x:v>
      </x:c>
      <x:c r="C22" s="20" t="n">
        <x:v>260000</x:v>
      </x:c>
      <x:c r="D22" s="22" t="n">
        <x:f>C22/1000</x:f>
        <x:v>260</x:v>
      </x:c>
      <x:c r="E22" s="7" t="str">
        <x:v>#FFCC00</x:v>
      </x:c>
      <x:c r="F22" s="7" t="str">
        <x:v>FDP → BSW</x:v>
      </x:c>
      <x:c r="G22" s="7" t="str">
        <x:v>https://www.tagesschau.de/wahl/archiv/2025-02-23-BT-DE/analyse-wanderung.shtml</x:v>
      </x:c>
    </x:row>
    <x:row r="23">
      <x:c r="A23" s="7" t="str">
        <x:v>2021: FDP</x:v>
      </x:c>
      <x:c r="B23" s="7" t="str">
        <x:v>2025: AfD</x:v>
      </x:c>
      <x:c r="C23" s="20" t="n">
        <x:v>890000</x:v>
      </x:c>
      <x:c r="D23" s="22" t="n">
        <x:f>C23/1000</x:f>
        <x:v>890</x:v>
      </x:c>
      <x:c r="E23" s="7" t="str">
        <x:v>#FFCC00</x:v>
      </x:c>
      <x:c r="F23" s="7" t="str">
        <x:v>FDP → AfD</x:v>
      </x:c>
      <x:c r="G23" s="7" t="str">
        <x:v>https://www.tagesschau.de/wahl/archiv/2025-02-23-BT-DE/analyse-wanderung.shtml</x:v>
      </x:c>
    </x:row>
    <x:row r="24">
      <x:c r="A24" s="7" t="str">
        <x:v>2021: Linke</x:v>
      </x:c>
      <x:c r="B24" s="7" t="str">
        <x:v>2025: AfD</x:v>
      </x:c>
      <x:c r="C24" s="20" t="n">
        <x:v>110000</x:v>
      </x:c>
      <x:c r="D24" s="22" t="n">
        <x:f>C24/1000</x:f>
        <x:v>110</x:v>
      </x:c>
      <x:c r="E24" s="7" t="str">
        <x:v>#BE3075</x:v>
      </x:c>
      <x:c r="F24" s="7" t="str">
        <x:v>Linke → AfD</x:v>
      </x:c>
      <x:c r="G24" s="7" t="str">
        <x:v>https://www.tagesschau.de/wahl/archiv/2025-02-23-BT-DE/analyse-wanderung.shtml</x:v>
      </x:c>
    </x:row>
    <x:row r="25">
      <x:c r="A25" s="7" t="str">
        <x:v>2021: Nichtwähler</x:v>
      </x:c>
      <x:c r="B25" s="7" t="str">
        <x:v>2025: AfD</x:v>
      </x:c>
      <x:c r="C25" s="20" t="n">
        <x:v>1810000</x:v>
      </x:c>
      <x:c r="D25" s="22" t="n">
        <x:f>C25/1000</x:f>
        <x:v>1810</x:v>
      </x:c>
      <x:c r="E25" s="7" t="str">
        <x:v>#808080</x:v>
      </x:c>
      <x:c r="F25" s="7" t="str">
        <x:v>Nichtwähler → AfD</x:v>
      </x:c>
      <x:c r="G25" s="7" t="str">
        <x:v>https://www.tagesschau.de/wahl/archiv/2025-02-23-BT-DE/charts/analyse-wanderung/chart_1873619.jpg</x:v>
      </x:c>
    </x:row>
    <x:row r="26">
      <x:c r="A26" s="7" t="str">
        <x:v>2021: AfD</x:v>
      </x:c>
      <x:c r="B26" s="7" t="str">
        <x:v>2025: BSW</x:v>
      </x:c>
      <x:c r="C26" s="20" t="n">
        <x:v>60000</x:v>
      </x:c>
      <x:c r="D26" s="22" t="n">
        <x:f>C26/1000</x:f>
        <x:v>60</x:v>
      </x:c>
      <x:c r="E26" s="7" t="str">
        <x:v>#009EE0</x:v>
      </x:c>
      <x:c r="F26" s="7" t="str">
        <x:v>AfD → BSW</x:v>
      </x:c>
      <x:c r="G26" s="7" t="str">
        <x:v>https://www.tagesschau.de/wahl/archiv/2025-02-23-BT-DE/analyse-wanderung.shtml</x:v>
      </x:c>
    </x:row>
    <x:row r="27">
      <x:c r="A27" s="7" t="str">
        <x:v>2021: Nichtwähler</x:v>
      </x:c>
      <x:c r="B27" s="7" t="str">
        <x:v>2025: Linke</x:v>
      </x:c>
      <x:c r="C27" s="20" t="n">
        <x:v>290000</x:v>
      </x:c>
      <x:c r="D27" s="22" t="n">
        <x:f>C27/1000</x:f>
        <x:v>290</x:v>
      </x:c>
      <x:c r="E27" s="7" t="str">
        <x:v>#808080</x:v>
      </x:c>
      <x:c r="F27" s="7" t="str">
        <x:v>Nichtwähler → Linke</x:v>
      </x:c>
      <x:c r="G27" s="7" t="str">
        <x:v>https://www.tagesschau.de/wahl/archiv/2025-02-23-BT-DE/charts/analyse-wanderung/chart_1873621.jpg</x:v>
      </x:c>
    </x:row>
    <x:row r="28">
      <x:c r="A28" s="7" t="str">
        <x:v>2021: Linke</x:v>
      </x:c>
      <x:c r="B28" s="7" t="str">
        <x:v>2025: BSW</x:v>
      </x:c>
      <x:c r="C28" s="20" t="n">
        <x:v>350000</x:v>
      </x:c>
      <x:c r="D28" s="22" t="n">
        <x:f>C28/1000</x:f>
        <x:v>350</x:v>
      </x:c>
      <x:c r="E28" s="7" t="str">
        <x:v>#BE3075</x:v>
      </x:c>
      <x:c r="F28" s="7" t="str">
        <x:v>Linke → BSW</x:v>
      </x:c>
      <x:c r="G28" s="7" t="str">
        <x:v>https://www.tagesschau.de/wahl/archiv/2025-02-23-BT-DE/analyse-wanderung.shtml</x:v>
      </x:c>
    </x:row>
    <x:row r="29">
      <x:c r="A29" s="7" t="str">
        <x:v>2021: Nichtwähler</x:v>
      </x:c>
      <x:c r="B29" s="7" t="str">
        <x:v>2025: BSW</x:v>
      </x:c>
      <x:c r="C29" s="20" t="n">
        <x:v>400000</x:v>
      </x:c>
      <x:c r="D29" s="22" t="n">
        <x:f>C29/1000</x:f>
        <x:v>400</x:v>
      </x:c>
      <x:c r="E29" s="7" t="str">
        <x:v>#808080</x:v>
      </x:c>
      <x:c r="F29" s="7" t="str">
        <x:v>Nichtwähler → BSW</x:v>
      </x:c>
      <x:c r="G29" s="7" t="str">
        <x:v>https://www.tagesschau.de/wahl/archiv/2025-02-23-BT-DE/charts/analyse-wanderung/chart_1873623.jpg</x:v>
      </x:c>
    </x:row>
  </x:sheetData>
  <x:pageMargins left="0.7" right="0.7" top="0.75" bottom="0.75" header="0.3" footer="0.3"/>
  <x:tableParts count="1">
    <x:tablePart xmlns:r="http://schemas.openxmlformats.org/officeDocument/2006/relationships" r:id="R4ad63e109b75470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4" t="str">
        <x:v>party</x:v>
      </x:c>
      <x:c r="B1" s="14" t="str">
        <x:v>inflow_k</x:v>
      </x:c>
      <x:c r="C1" s="14" t="str">
        <x:v>outflow_k</x:v>
      </x:c>
      <x:c r="D1" s="14" t="str">
        <x:v>net_k</x:v>
      </x:c>
      <x:c r="E1" s="14" t="str">
        <x:v>inflow_voters</x:v>
      </x:c>
      <x:c r="F1" s="14" t="str">
        <x:v>outflow_voters</x:v>
      </x:c>
      <x:c r="G1" s="14" t="str">
        <x:v>net_voters</x:v>
      </x:c>
    </x:row>
    <x:row r="2">
      <x:c r="A2" s="7" t="str">
        <x:v>Union</x:v>
      </x:c>
      <x:c r="B2" s="22" t="n">
        <x:f>SUMIF(Migration!$B:$B,A2,Migration!$D:$D)</x:f>
        <x:v>4470</x:v>
      </x:c>
      <x:c r="C2" s="22" t="n">
        <x:f>SUMIF(Migration!$A:$A,A2,Migration!$D:$D)</x:f>
        <x:v>1300</x:v>
      </x:c>
      <x:c r="D2" s="22" t="n">
        <x:f>B2-C2</x:f>
        <x:v>3170</x:v>
      </x:c>
      <x:c r="E2" s="20" t="n">
        <x:f>B2*1000</x:f>
        <x:v>4470000</x:v>
      </x:c>
      <x:c r="F2" s="20" t="n">
        <x:f>C2*1000</x:f>
        <x:v>1300000</x:v>
      </x:c>
      <x:c r="G2" s="20" t="n">
        <x:f>D2*1000</x:f>
        <x:v>3170000</x:v>
      </x:c>
    </x:row>
    <x:row r="3">
      <x:c r="A3" s="7" t="str">
        <x:v>SPD</x:v>
      </x:c>
      <x:c r="B3" s="22" t="n">
        <x:f>SUMIF(Migration!$B:$B,A3,Migration!$D:$D)</x:f>
        <x:v>370</x:v>
      </x:c>
      <x:c r="C3" s="22" t="n">
        <x:f>SUMIF(Migration!$A:$A,A3,Migration!$D:$D)</x:f>
        <x:v>3580</x:v>
      </x:c>
      <x:c r="D3" s="22" t="n">
        <x:f>B3-C3</x:f>
        <x:v>-3210</x:v>
      </x:c>
      <x:c r="E3" s="20" t="n">
        <x:f>B3*1000</x:f>
        <x:v>370000</x:v>
      </x:c>
      <x:c r="F3" s="20" t="n">
        <x:f>C3*1000</x:f>
        <x:v>3580000</x:v>
      </x:c>
      <x:c r="G3" s="20" t="n">
        <x:f>D3*1000</x:f>
        <x:v>-3210000</x:v>
      </x:c>
    </x:row>
    <x:row r="4">
      <x:c r="A4" s="7" t="str">
        <x:v>AfD</x:v>
      </x:c>
      <x:c r="B4" s="22" t="n">
        <x:f>SUMIF(Migration!$B:$B,A4,Migration!$D:$D)</x:f>
        <x:v>4640</x:v>
      </x:c>
      <x:c r="C4" s="22" t="n">
        <x:f>SUMIF(Migration!$A:$A,A4,Migration!$D:$D)</x:f>
        <x:v>60</x:v>
      </x:c>
      <x:c r="D4" s="22" t="n">
        <x:f>B4-C4</x:f>
        <x:v>4580</x:v>
      </x:c>
      <x:c r="E4" s="20" t="n">
        <x:f>B4*1000</x:f>
        <x:v>4640000</x:v>
      </x:c>
      <x:c r="F4" s="20" t="n">
        <x:f>C4*1000</x:f>
        <x:v>60000</x:v>
      </x:c>
      <x:c r="G4" s="20" t="n">
        <x:f>D4*1000</x:f>
        <x:v>4580000</x:v>
      </x:c>
    </x:row>
    <x:row r="5">
      <x:c r="A5" s="7" t="str">
        <x:v>Grüne</x:v>
      </x:c>
      <x:c r="B5" s="22" t="n">
        <x:f>SUMIF(Migration!$B:$B,A5,Migration!$D:$D)</x:f>
        <x:v>350</x:v>
      </x:c>
      <x:c r="C5" s="22" t="n">
        <x:f>SUMIF(Migration!$A:$A,A5,Migration!$D:$D)</x:f>
        <x:v>1410</x:v>
      </x:c>
      <x:c r="D5" s="22" t="n">
        <x:f>B5-C5</x:f>
        <x:v>-1060</x:v>
      </x:c>
      <x:c r="E5" s="20" t="n">
        <x:f>B5*1000</x:f>
        <x:v>350000</x:v>
      </x:c>
      <x:c r="F5" s="20" t="n">
        <x:f>C5*1000</x:f>
        <x:v>1410000</x:v>
      </x:c>
      <x:c r="G5" s="20" t="n">
        <x:f>D5*1000</x:f>
        <x:v>-1060000</x:v>
      </x:c>
    </x:row>
    <x:row r="6">
      <x:c r="A6" s="7" t="str">
        <x:v>FDP</x:v>
      </x:c>
      <x:c r="B6" s="22" t="n">
        <x:f>SUMIF(Migration!$B:$B,A6,Migration!$D:$D)</x:f>
        <x:v>0</x:v>
      </x:c>
      <x:c r="C6" s="22" t="n">
        <x:f>SUMIF(Migration!$A:$A,A6,Migration!$D:$D)</x:f>
        <x:v>2900</x:v>
      </x:c>
      <x:c r="D6" s="22" t="n">
        <x:f>B6-C6</x:f>
        <x:v>-2900</x:v>
      </x:c>
      <x:c r="E6" s="20" t="n">
        <x:f>B6*1000</x:f>
        <x:v>0</x:v>
      </x:c>
      <x:c r="F6" s="20" t="n">
        <x:f>C6*1000</x:f>
        <x:v>2900000</x:v>
      </x:c>
      <x:c r="G6" s="20" t="n">
        <x:f>D6*1000</x:f>
        <x:v>-2900000</x:v>
      </x:c>
    </x:row>
    <x:row r="7">
      <x:c r="A7" s="7" t="str">
        <x:v>Linke</x:v>
      </x:c>
      <x:c r="B7" s="22" t="n">
        <x:f>SUMIF(Migration!$B:$B,A7,Migration!$D:$D)</x:f>
        <x:v>1720</x:v>
      </x:c>
      <x:c r="C7" s="22" t="n">
        <x:f>SUMIF(Migration!$A:$A,A7,Migration!$D:$D)</x:f>
        <x:v>460</x:v>
      </x:c>
      <x:c r="D7" s="22" t="n">
        <x:f>B7-C7</x:f>
        <x:v>1260</x:v>
      </x:c>
      <x:c r="E7" s="20" t="n">
        <x:f>B7*1000</x:f>
        <x:v>1720000</x:v>
      </x:c>
      <x:c r="F7" s="20" t="n">
        <x:f>C7*1000</x:f>
        <x:v>460000</x:v>
      </x:c>
      <x:c r="G7" s="20" t="n">
        <x:f>D7*1000</x:f>
        <x:v>1260000</x:v>
      </x:c>
    </x:row>
    <x:row r="8">
      <x:c r="A8" s="7" t="str">
        <x:v>BSW</x:v>
      </x:c>
      <x:c r="B8" s="22" t="n">
        <x:f>SUMIF(Migration!$B:$B,A8,Migration!$D:$D)</x:f>
        <x:v>1880</x:v>
      </x:c>
      <x:c r="C8" s="22" t="n">
        <x:f>SUMIF(Migration!$A:$A,A8,Migration!$D:$D)</x:f>
        <x:v>0</x:v>
      </x:c>
      <x:c r="D8" s="22" t="n">
        <x:f>B8-C8</x:f>
        <x:v>1880</x:v>
      </x:c>
      <x:c r="E8" s="20" t="n">
        <x:f>B8*1000</x:f>
        <x:v>1880000</x:v>
      </x:c>
      <x:c r="F8" s="20" t="n">
        <x:f>C8*1000</x:f>
        <x:v>0</x:v>
      </x:c>
      <x:c r="G8" s="20" t="n">
        <x:f>D8*1000</x:f>
        <x:v>1880000</x:v>
      </x:c>
    </x:row>
    <x:row r="9">
      <x:c r="A9" s="7" t="str">
        <x:v>Nichtwähler</x:v>
      </x:c>
      <x:c r="B9" s="22" t="n">
        <x:f>SUMIF(Migration!$B:$B,A9,Migration!$D:$D)</x:f>
        <x:v>40</x:v>
      </x:c>
      <x:c r="C9" s="22" t="n">
        <x:f>SUMIF(Migration!$A:$A,A9,Migration!$D:$D)</x:f>
        <x:v>3760</x:v>
      </x:c>
      <x:c r="D9" s="22" t="n">
        <x:f>B9-C9</x:f>
        <x:v>-3720</x:v>
      </x:c>
      <x:c r="E9" s="20" t="n">
        <x:f>B9*1000</x:f>
        <x:v>40000</x:v>
      </x:c>
      <x:c r="F9" s="20" t="n">
        <x:f>C9*1000</x:f>
        <x:v>3760000</x:v>
      </x:c>
      <x:c r="G9" s="20" t="n">
        <x:f>D9*1000</x:f>
        <x:v>-3720000</x:v>
      </x:c>
    </x:row>
  </x:sheetData>
  <x:pageMargins left="0.7" right="0.7" top="0.75" bottom="0.75" header="0.3" footer="0.3"/>
  <x:drawing xmlns:r="http://schemas.openxmlformats.org/officeDocument/2006/relationships" r:id="Rca4ed18ad51c4698"/>
  <x:tableParts count="1">
    <x:tablePart xmlns:r="http://schemas.openxmlformats.org/officeDocument/2006/relationships" r:id="Rc57a8d8f5f9c45f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55" hidden="0" customWidth="1"/>
    <x:col min="9" max="9" width="45" hidden="0" customWidth="1"/>
  </x:cols>
  <x:sheetData>
    <x:row r="1">
      <x:c r="A1" s="14" t="str">
        <x:v>party</x:v>
      </x:c>
      <x:c r="B1" s="14" t="str">
        <x:v>share_2021_pct</x:v>
      </x:c>
      <x:c r="C1" s="14" t="str">
        <x:v>seats_2021</x:v>
      </x:c>
      <x:c r="D1" s="14" t="str">
        <x:v>share_2025_pct</x:v>
      </x:c>
      <x:c r="E1" s="14" t="str">
        <x:v>seats_2025</x:v>
      </x:c>
      <x:c r="F1" s="14" t="str">
        <x:v>share_change_pp</x:v>
      </x:c>
      <x:c r="G1" s="14" t="str">
        <x:v>seat_change</x:v>
      </x:c>
      <x:c r="H1" s="14" t="str">
        <x:v>source_url</x:v>
      </x:c>
      <x:c r="I1" s="14" t="str">
        <x:v>note</x:v>
      </x:c>
    </x:row>
    <x:row r="2">
      <x:c r="A2" s="7" t="str">
        <x:v>CDU/CSU</x:v>
      </x:c>
      <x:c r="B2" s="24" t="n">
        <x:v>24.1</x:v>
      </x:c>
      <x:c r="C2" s="22" t="n">
        <x:v>197</x:v>
      </x:c>
      <x:c r="D2" s="22" t="n">
        <x:v>28.5</x:v>
      </x:c>
      <x:c r="E2" s="22" t="n">
        <x:v>208</x:v>
      </x:c>
      <x:c r="F2" s="24" t="n">
        <x:f>IF(OR(B2="",D2=""),"",D2-B2)</x:f>
        <x:v>4.399999999999999</x:v>
      </x:c>
      <x:c r="G2" s="22" t="n">
        <x:f>IF(OR(C2="",E2=""),"",E2-C2)</x:f>
        <x:v>11</x:v>
      </x:c>
      <x:c r="H2" s="7" t="str">
        <x:v>https://www.wahlrecht.de/ergebnisse/bundestag.htm</x:v>
      </x:c>
      <x:c r="I2" s="7" t="str"/>
    </x:row>
    <x:row r="3">
      <x:c r="A3" s="7" t="str">
        <x:v>SPD</x:v>
      </x:c>
      <x:c r="B3" s="24" t="n">
        <x:v>25.7</x:v>
      </x:c>
      <x:c r="C3" s="22" t="n">
        <x:v>206</x:v>
      </x:c>
      <x:c r="D3" s="22" t="n">
        <x:v>16.4</x:v>
      </x:c>
      <x:c r="E3" s="22" t="n">
        <x:v>120</x:v>
      </x:c>
      <x:c r="F3" s="24" t="n">
        <x:f>IF(OR(B3="",D3=""),"",D3-B3)</x:f>
        <x:v>-9.3</x:v>
      </x:c>
      <x:c r="G3" s="22" t="n">
        <x:f>IF(OR(C3="",E3=""),"",E3-C3)</x:f>
        <x:v>-86</x:v>
      </x:c>
      <x:c r="H3" s="7" t="str">
        <x:v>https://www.wahlrecht.de/ergebnisse/bundestag.htm</x:v>
      </x:c>
      <x:c r="I3" s="7" t="str"/>
    </x:row>
    <x:row r="4">
      <x:c r="A4" s="7" t="str">
        <x:v>AfD</x:v>
      </x:c>
      <x:c r="B4" s="24" t="n">
        <x:v>10.3</x:v>
      </x:c>
      <x:c r="C4" s="22" t="n">
        <x:v>83</x:v>
      </x:c>
      <x:c r="D4" s="22" t="n">
        <x:v>20.8</x:v>
      </x:c>
      <x:c r="E4" s="22" t="n">
        <x:v>152</x:v>
      </x:c>
      <x:c r="F4" s="24" t="n">
        <x:f>IF(OR(B4="",D4=""),"",D4-B4)</x:f>
        <x:v>10.5</x:v>
      </x:c>
      <x:c r="G4" s="22" t="n">
        <x:f>IF(OR(C4="",E4=""),"",E4-C4)</x:f>
        <x:v>69</x:v>
      </x:c>
      <x:c r="H4" s="7" t="str">
        <x:v>https://www.wahlrecht.de/ergebnisse/bundestag.htm</x:v>
      </x:c>
      <x:c r="I4" s="7" t="str"/>
    </x:row>
    <x:row r="5">
      <x:c r="A5" s="7" t="str">
        <x:v>Grüne</x:v>
      </x:c>
      <x:c r="B5" s="24" t="n">
        <x:v>14.8</x:v>
      </x:c>
      <x:c r="C5" s="22" t="n">
        <x:v>118</x:v>
      </x:c>
      <x:c r="D5" s="22" t="n">
        <x:v>11.6</x:v>
      </x:c>
      <x:c r="E5" s="22" t="n">
        <x:v>85</x:v>
      </x:c>
      <x:c r="F5" s="24" t="n">
        <x:f>IF(OR(B5="",D5=""),"",D5-B5)</x:f>
        <x:v>-3.200000000000001</x:v>
      </x:c>
      <x:c r="G5" s="22" t="n">
        <x:f>IF(OR(C5="",E5=""),"",E5-C5)</x:f>
        <x:v>-33</x:v>
      </x:c>
      <x:c r="H5" s="7" t="str">
        <x:v>https://www.wahlrecht.de/ergebnisse/bundestag.htm</x:v>
      </x:c>
      <x:c r="I5" s="7" t="str"/>
    </x:row>
    <x:row r="6">
      <x:c r="A6" s="7" t="str">
        <x:v>Die Linke</x:v>
      </x:c>
      <x:c r="B6" s="24" t="n">
        <x:v>4.9</x:v>
      </x:c>
      <x:c r="C6" s="22" t="n">
        <x:v>39</x:v>
      </x:c>
      <x:c r="D6" s="22" t="n">
        <x:v>8.8</x:v>
      </x:c>
      <x:c r="E6" s="22" t="n">
        <x:v>64</x:v>
      </x:c>
      <x:c r="F6" s="24" t="n">
        <x:f>IF(OR(B6="",D6=""),"",D6-B6)</x:f>
        <x:v>3.9000000000000004</x:v>
      </x:c>
      <x:c r="G6" s="22" t="n">
        <x:f>IF(OR(C6="",E6=""),"",E6-C6)</x:f>
        <x:v>25</x:v>
      </x:c>
      <x:c r="H6" s="7" t="str">
        <x:v>https://www.wahlrecht.de/ergebnisse/bundestag.htm</x:v>
      </x:c>
      <x:c r="I6" s="7" t="str"/>
    </x:row>
    <x:row r="7">
      <x:c r="A7" s="7" t="str">
        <x:v>FDP</x:v>
      </x:c>
      <x:c r="B7" s="24" t="n">
        <x:v>11.5</x:v>
      </x:c>
      <x:c r="C7" s="22" t="n">
        <x:v>92</x:v>
      </x:c>
      <x:c r="D7" s="22" t="n">
        <x:v>4.3</x:v>
      </x:c>
      <x:c r="E7" s="22" t="n">
        <x:v>0</x:v>
      </x:c>
      <x:c r="F7" s="24" t="n">
        <x:f>IF(OR(B7="",D7=""),"",D7-B7)</x:f>
        <x:v>-7.2</x:v>
      </x:c>
      <x:c r="G7" s="22" t="str">
        <x:f>IF(OR(C7="",E7=""),"",E7-C7)</x:f>
      </x:c>
      <x:c r="H7" s="7" t="str">
        <x:v>https://www.wahlrecht.de/ergebnisse/bundestag.htm</x:v>
      </x:c>
      <x:c r="I7" s="7" t="str"/>
    </x:row>
    <x:row r="8">
      <x:c r="A8" s="7" t="str">
        <x:v>BSW</x:v>
      </x:c>
      <x:c r="B8" s="24"/>
      <x:c r="C8" s="22" t="n">
        <x:v>0</x:v>
      </x:c>
      <x:c r="D8" s="22" t="n">
        <x:v>4.98</x:v>
      </x:c>
      <x:c r="E8" s="22" t="n">
        <x:v>0</x:v>
      </x:c>
      <x:c r="F8" s="24" t="str">
        <x:f>IF(OR(B8="",D8=""),"",D8-B8)</x:f>
      </x:c>
      <x:c r="G8" s="22" t="str">
        <x:f>IF(OR(C8="",E8=""),"",E8-C8)</x:f>
      </x:c>
      <x:c r="H8" s="7" t="str">
        <x:v>https://www.wahlrecht.de/news/2025/bundestagswahl-2025.html</x:v>
      </x:c>
      <x:c r="I8" s="7" t="str">
        <x:v>Percentages/seats; BSW 2025 final share from wahlrecht.de detail page.</x:v>
      </x:c>
    </x:row>
    <x:row r="9">
      <x:c r="A9" s="7" t="str">
        <x:v>SSW</x:v>
      </x:c>
      <x:c r="B9" s="24" t="n">
        <x:v>0.1</x:v>
      </x:c>
      <x:c r="C9" s="22" t="n">
        <x:v>1</x:v>
      </x:c>
      <x:c r="D9" s="22" t="n">
        <x:v>0.2</x:v>
      </x:c>
      <x:c r="E9" s="22" t="n">
        <x:v>1</x:v>
      </x:c>
      <x:c r="F9" s="24" t="n">
        <x:f>IF(OR(B9="",D9=""),"",D9-B9)</x:f>
        <x:v>0.1</x:v>
      </x:c>
      <x:c r="G9" s="22" t="n">
        <x:f>IF(OR(C9="",E9=""),"",E9-C9)</x:f>
        <x:v>0</x:v>
      </x:c>
      <x:c r="H9" s="7" t="str">
        <x:v>https://www.wahlrecht.de/ergebnisse/bundestag.htm</x:v>
      </x:c>
      <x:c r="I9" s="7" t="str"/>
    </x:row>
    <x:row r="10">
      <x:c r="A10" s="7" t="str">
        <x:v>Sonstige</x:v>
      </x:c>
      <x:c r="B10" s="24" t="n">
        <x:v>7.7</x:v>
      </x:c>
      <x:c r="C10" s="22" t="n">
        <x:v>0</x:v>
      </x:c>
      <x:c r="D10" s="22" t="n">
        <x:v>4.4</x:v>
      </x:c>
      <x:c r="E10" s="22" t="n">
        <x:v>0</x:v>
      </x:c>
      <x:c r="F10" s="24" t="n">
        <x:f>IF(OR(B10="",D10=""),"",D10-B10)</x:f>
        <x:v>-3.3</x:v>
      </x:c>
      <x:c r="G10" s="22" t="str">
        <x:f>IF(OR(C10="",E10=""),"",E10-C10)</x:f>
      </x:c>
      <x:c r="H10" s="7" t="str">
        <x:v>https://www.wahlrecht.de/ergebnisse/bundestag.htm</x:v>
      </x:c>
      <x:c r="I10" s="7" t="str"/>
    </x:row>
    <x:row r="11">
      <x:c r="A11" s="7" t="str">
        <x:v>Wahlbeteiligung</x:v>
      </x:c>
      <x:c r="B11" s="24" t="n">
        <x:v>76.6</x:v>
      </x:c>
      <x:c r="C11" s="22"/>
      <x:c r="D11" s="22" t="n">
        <x:v>82.5</x:v>
      </x:c>
      <x:c r="E11" s="22"/>
      <x:c r="F11" s="24" t="n">
        <x:f>IF(OR(B11="",D11=""),"",D11-B11)</x:f>
        <x:v>5.900000000000006</x:v>
      </x:c>
      <x:c r="G11" s="22" t="str">
        <x:f>IF(OR(C11="",E11=""),"",E11-C11)</x:f>
      </x:c>
      <x:c r="H11" s="7" t="str">
        <x:v>https://www.wahlrecht.de/ergebnisse/bundestag.htm</x:v>
      </x:c>
      <x:c r="I11" s="7" t="str"/>
    </x:row>
  </x:sheetData>
  <x:pageMargins left="0.7" right="0.7" top="0.75" bottom="0.75" header="0.3" footer="0.3"/>
  <x:tableParts count="1">
    <x:tablePart xmlns:r="http://schemas.openxmlformats.org/officeDocument/2006/relationships" r:id="R62a7305f99244d49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70" hidden="0" customWidth="1"/>
    <x:col min="3" max="3" width="45" hidden="0" customWidth="1"/>
    <x:col min="4" max="4" width="45" hidden="0" customWidth="1"/>
  </x:cols>
  <x:sheetData>
    <x:row r="1">
      <x:c r="A1" s="14" t="str">
        <x:v>source_name</x:v>
      </x:c>
      <x:c r="B1" s="14" t="str">
        <x:v>url</x:v>
      </x:c>
      <x:c r="C1" s="14" t="str">
        <x:v>used_for</x:v>
      </x:c>
      <x:c r="D1" s="14" t="str">
        <x:v>notes</x:v>
      </x:c>
    </x:row>
    <x:row r="2">
      <x:c r="A2" s="7" t="str">
        <x:v>wahlrecht.de Bundestag results overview</x:v>
      </x:c>
      <x:c r="B2" s="7" t="str">
        <x:v>https://www.wahlrecht.de/ergebnisse/bundestag.htm</x:v>
      </x:c>
      <x:c r="C2" s="7" t="str">
        <x:v>Election_Results sheet</x:v>
      </x:c>
      <x:c r="D2" s="7" t="str">
        <x:v>Vote shares and seats for Bundestag elections including 2021 and 2025.</x:v>
      </x:c>
    </x:row>
    <x:row r="3">
      <x:c r="A3" s="7" t="str">
        <x:v>wahlrecht.de Bundestagswahl 2025 page</x:v>
      </x:c>
      <x:c r="B3" s="7" t="str">
        <x:v>https://www.wahlrecht.de/news/2025/bundestagswahl-2025.html</x:v>
      </x:c>
      <x:c r="C3" s="7" t="str">
        <x:v>Election_Results sheet</x:v>
      </x:c>
      <x:c r="D3" s="7" t="str">
        <x:v>Final BSW 2025 votes/share details and 2025 turnout/valid vote context.</x:v>
      </x:c>
    </x:row>
    <x:row r="4">
      <x:c r="A4" s="7" t="str">
        <x:v>tagesschau / infratest dimap Wählerwanderung</x:v>
      </x:c>
      <x:c r="B4" s="7" t="str">
        <x:v>https://www.tagesschau.de/wahl/archiv/2025-02-23-BT-DE/analyse-wanderung.shtml</x:v>
      </x:c>
      <x:c r="C4" s="7" t="str">
        <x:v>Migration and Sankey_Input sheets</x:v>
      </x:c>
      <x:c r="D4" s="7" t="str">
        <x:v>Migration flows are estimated net flows and not exact ballot tracking.</x:v>
      </x:c>
    </x:row>
    <x:row r="5">
      <x:c r="A5" s="7" t="str">
        <x:v>SPD migration graphic</x:v>
      </x:c>
      <x:c r="B5" s="7" t="str">
        <x:v>https://www.tagesschau.de/wahl/archiv/2025-02-23-BT-DE/charts/analyse-wanderung/chart_1873611.jpg</x:v>
      </x:c>
      <x:c r="C5" s="7" t="str">
        <x:v>Migration rows involving SPD</x:v>
      </x:c>
      <x:c r="D5" s="7" t="str"/>
    </x:row>
    <x:row r="6">
      <x:c r="A6" s="7" t="str">
        <x:v>Union migration graphic</x:v>
      </x:c>
      <x:c r="B6" s="7" t="str">
        <x:v>https://www.tagesschau.de/wahl/archiv/2025-02-23-BT-DE/charts/analyse-wanderung/chart_1873613.jpg</x:v>
      </x:c>
      <x:c r="C6" s="7" t="str">
        <x:v>Migration rows involving Union</x:v>
      </x:c>
      <x:c r="D6" s="7" t="str"/>
    </x:row>
    <x:row r="7">
      <x:c r="A7" s="7" t="str">
        <x:v>Grüne migration graphic</x:v>
      </x:c>
      <x:c r="B7" s="7" t="str">
        <x:v>https://www.tagesschau.de/wahl/archiv/2025-02-23-BT-DE/charts/analyse-wanderung/chart_1873615.jpg</x:v>
      </x:c>
      <x:c r="C7" s="7" t="str">
        <x:v>Migration rows involving Grüne</x:v>
      </x:c>
      <x:c r="D7" s="7" t="str"/>
    </x:row>
    <x:row r="8">
      <x:c r="A8" s="7" t="str">
        <x:v>FDP migration graphic</x:v>
      </x:c>
      <x:c r="B8" s="7" t="str">
        <x:v>https://www.tagesschau.de/wahl/archiv/2025-02-23-BT-DE/charts/analyse-wanderung/chart_1873617.jpg</x:v>
      </x:c>
      <x:c r="C8" s="7" t="str">
        <x:v>Migration rows involving FDP</x:v>
      </x:c>
      <x:c r="D8" s="7" t="str"/>
    </x:row>
    <x:row r="9">
      <x:c r="A9" s="7" t="str">
        <x:v>AfD migration graphic</x:v>
      </x:c>
      <x:c r="B9" s="7" t="str">
        <x:v>https://www.tagesschau.de/wahl/archiv/2025-02-23-BT-DE/charts/analyse-wanderung/chart_1873619.jpg</x:v>
      </x:c>
      <x:c r="C9" s="7" t="str">
        <x:v>Migration rows involving AfD</x:v>
      </x:c>
      <x:c r="D9" s="7" t="str"/>
    </x:row>
    <x:row r="10">
      <x:c r="A10" s="7" t="str">
        <x:v>Linke migration graphic</x:v>
      </x:c>
      <x:c r="B10" s="7" t="str">
        <x:v>https://www.tagesschau.de/wahl/archiv/2025-02-23-BT-DE/charts/analyse-wanderung/chart_1873621.jpg</x:v>
      </x:c>
      <x:c r="C10" s="7" t="str">
        <x:v>Migration rows involving Linke</x:v>
      </x:c>
      <x:c r="D10" s="7" t="str"/>
    </x:row>
    <x:row r="11">
      <x:c r="A11" s="7" t="str">
        <x:v>BSW migration graphic</x:v>
      </x:c>
      <x:c r="B11" s="7" t="str">
        <x:v>https://www.tagesschau.de/wahl/archiv/2025-02-23-BT-DE/charts/analyse-wanderung/chart_1873623.jpg</x:v>
      </x:c>
      <x:c r="C11" s="7" t="str">
        <x:v>Migration rows involving BSW</x:v>
      </x:c>
      <x:c r="D11" s="7" t="str"/>
    </x:row>
  </x:sheetData>
  <x:pageMargins left="0.7" right="0.7" top="0.75" bottom="0.75" header="0.3" footer="0.3"/>
  <x:tableParts count="1">
    <x:tablePart xmlns:r="http://schemas.openxmlformats.org/officeDocument/2006/relationships" r:id="R6b80c75b26174fd9"/>
  </x:tableParts>
</x:worksheet>
</file>